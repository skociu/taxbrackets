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skoci\Dropbox\Excel\"/>
    </mc:Choice>
  </mc:AlternateContent>
  <xr:revisionPtr revIDLastSave="0" documentId="13_ncr:1_{36FF9AAE-A279-42AB-BF43-DDFD41249795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Tax2020" sheetId="3" r:id="rId1"/>
  </sheets>
  <functionGroups builtInGroupCount="19"/>
  <definedNames>
    <definedName name="HEAD">'Tax2020'!$A$38:$C$44</definedName>
    <definedName name="MARRIED">'Tax2020'!$A$16:$C$22</definedName>
    <definedName name="SEPARATE">'Tax2020'!$A$27:$C$33</definedName>
    <definedName name="SINGLE">'Tax2020'!$A$5:$C$11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4" i="3" l="1"/>
  <c r="A43" i="3"/>
  <c r="A42" i="3"/>
  <c r="A41" i="3"/>
  <c r="A40" i="3"/>
  <c r="A39" i="3"/>
  <c r="A33" i="3"/>
  <c r="A32" i="3"/>
  <c r="A31" i="3"/>
  <c r="A30" i="3"/>
  <c r="A29" i="3"/>
  <c r="A28" i="3"/>
  <c r="A22" i="3"/>
  <c r="A21" i="3"/>
  <c r="A20" i="3"/>
  <c r="A19" i="3"/>
  <c r="A18" i="3"/>
  <c r="A17" i="3"/>
  <c r="I15" i="3"/>
  <c r="I6" i="3"/>
  <c r="J6" i="3"/>
  <c r="J7" i="3"/>
  <c r="H15" i="3"/>
  <c r="H9" i="3"/>
  <c r="H13" i="3"/>
  <c r="I16" i="3"/>
  <c r="J9" i="3"/>
  <c r="H11" i="3"/>
  <c r="H7" i="3"/>
  <c r="H12" i="3"/>
  <c r="J14" i="3"/>
  <c r="H22" i="3"/>
  <c r="J20" i="3"/>
  <c r="J15" i="3"/>
  <c r="I7" i="3"/>
  <c r="J22" i="3"/>
  <c r="H8" i="3"/>
  <c r="I12" i="3"/>
  <c r="I10" i="3"/>
  <c r="J11" i="3"/>
  <c r="J19" i="3"/>
  <c r="H10" i="3"/>
  <c r="H18" i="3"/>
  <c r="H20" i="3"/>
  <c r="I5" i="3"/>
  <c r="I19" i="3"/>
  <c r="J16" i="3"/>
  <c r="H4" i="3"/>
  <c r="J4" i="3"/>
  <c r="I17" i="3"/>
  <c r="J8" i="3"/>
  <c r="H5" i="3"/>
  <c r="I14" i="3"/>
  <c r="H17" i="3"/>
  <c r="I22" i="3"/>
  <c r="J13" i="3"/>
  <c r="I9" i="3"/>
  <c r="I18" i="3"/>
  <c r="I13" i="3"/>
  <c r="J18" i="3"/>
  <c r="J12" i="3"/>
  <c r="H16" i="3"/>
  <c r="H21" i="3"/>
  <c r="I8" i="3"/>
  <c r="I20" i="3"/>
  <c r="I21" i="3"/>
  <c r="J10" i="3"/>
  <c r="H19" i="3"/>
  <c r="I4" i="3"/>
  <c r="J5" i="3"/>
  <c r="I11" i="3"/>
  <c r="J21" i="3"/>
  <c r="H6" i="3"/>
  <c r="J17" i="3"/>
  <c r="H14" i="3"/>
  <c r="A11" i="3" l="1"/>
  <c r="A10" i="3"/>
  <c r="A9" i="3"/>
  <c r="A8" i="3"/>
  <c r="A7" i="3"/>
  <c r="A6" i="3"/>
  <c r="G19" i="3"/>
  <c r="G21" i="3"/>
  <c r="G4" i="3"/>
  <c r="G10" i="3"/>
  <c r="G9" i="3"/>
  <c r="G18" i="3"/>
  <c r="G11" i="3"/>
  <c r="G5" i="3"/>
  <c r="G14" i="3"/>
  <c r="G8" i="3"/>
  <c r="G20" i="3"/>
  <c r="G17" i="3"/>
  <c r="G6" i="3"/>
  <c r="G7" i="3"/>
  <c r="G12" i="3"/>
  <c r="G15" i="3"/>
  <c r="G13" i="3"/>
  <c r="G22" i="3"/>
  <c r="G16" i="3"/>
  <c r="K6" i="3" l="1"/>
  <c r="K7" i="3"/>
  <c r="K16" i="3"/>
  <c r="K21" i="3"/>
  <c r="K13" i="3"/>
  <c r="K10" i="3"/>
  <c r="K11" i="3"/>
  <c r="K4" i="3"/>
  <c r="K20" i="3"/>
  <c r="K14" i="3"/>
  <c r="K15" i="3"/>
  <c r="K9" i="3"/>
  <c r="K22" i="3"/>
  <c r="K17" i="3"/>
  <c r="K19" i="3"/>
  <c r="K5" i="3"/>
  <c r="K12" i="3"/>
  <c r="K18" i="3"/>
  <c r="K8" i="3"/>
</calcChain>
</file>

<file path=xl/sharedStrings.xml><?xml version="1.0" encoding="utf-8"?>
<sst xmlns="http://schemas.openxmlformats.org/spreadsheetml/2006/main" count="34" uniqueCount="19">
  <si>
    <t>From Amount</t>
  </si>
  <si>
    <t>To Amount</t>
  </si>
  <si>
    <t>Rate</t>
  </si>
  <si>
    <t>Single filers</t>
  </si>
  <si>
    <t>Married filing jointly or qualifying widow/widower</t>
  </si>
  <si>
    <t>Married filing separately</t>
  </si>
  <si>
    <t>Head of household</t>
  </si>
  <si>
    <t>The tax brackets are pulled are from http://www.bankrate.com/finance/taxes/tax-brackets.aspx</t>
  </si>
  <si>
    <t>Federal Tax Owed</t>
  </si>
  <si>
    <t>Formula examples --&gt;</t>
  </si>
  <si>
    <t xml:space="preserve"> =CalcTax($F4,SINGLE)</t>
  </si>
  <si>
    <t xml:space="preserve"> =CalcTax($F4,MARRIED)</t>
  </si>
  <si>
    <t xml:space="preserve"> =CalcTax($F4,SEPARATE)</t>
  </si>
  <si>
    <t xml:space="preserve"> =CalcTax($F4,HEAD)</t>
  </si>
  <si>
    <t>E.g. Differences between Single Filers and Married Filing jointly</t>
  </si>
  <si>
    <t>Federal Taxable Amount</t>
  </si>
  <si>
    <r>
      <t xml:space="preserve">The following is just for illustration purposes and is not to be taken as real investment advice.
</t>
    </r>
    <r>
      <rPr>
        <sz val="11"/>
        <color theme="3" tint="-0.249977111117893"/>
        <rFont val="Calibri"/>
        <family val="2"/>
        <scheme val="minor"/>
      </rPr>
      <t>To perform the calculations, I've created a custom defined function called CalcTax which takes as input two variables, the taxable amount and the tax table</t>
    </r>
  </si>
  <si>
    <t>Tax Year 2020</t>
  </si>
  <si>
    <t>Married filing jointly or qualifying widow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</si>
</sst>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6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">
    <xf numFmtId="0" fontId="0" fillId="0" borderId="0" xfId="0"/>
    <xf numFmtId="0" fontId="4" fillId="0" borderId="0" xfId="0" applyFont="1"/>
    <xf numFmtId="0" fontId="7" fillId="0" borderId="0" xfId="0" applyFont="1"/>
    <xf numFmtId="0" fontId="4" fillId="0" borderId="1" xfId="0" applyFont="1" applyBorder="1"/>
    <xf numFmtId="0" fontId="9" fillId="6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/>
    </xf>
    <xf numFmtId="5" fontId="10" fillId="0" borderId="1" xfId="2" applyNumberFormat="1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164" fontId="4" fillId="2" borderId="1" xfId="1" applyNumberFormat="1" applyFont="1" applyFill="1" applyBorder="1"/>
    <xf numFmtId="9" fontId="4" fillId="2" borderId="1" xfId="0" applyNumberFormat="1" applyFont="1" applyFill="1" applyBorder="1"/>
    <xf numFmtId="0" fontId="4" fillId="0" borderId="0" xfId="0" quotePrefix="1" applyFont="1"/>
    <xf numFmtId="44" fontId="4" fillId="0" borderId="0" xfId="2" applyFont="1"/>
    <xf numFmtId="0" fontId="7" fillId="0" borderId="1" xfId="0" applyFont="1" applyBorder="1" applyAlignment="1">
      <alignment wrapText="1"/>
    </xf>
    <xf numFmtId="165" fontId="4" fillId="0" borderId="1" xfId="0" quotePrefix="1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left" vertical="center" wrapText="1"/>
    </xf>
    <xf numFmtId="0" fontId="5" fillId="4" borderId="0" xfId="0" applyFont="1" applyFill="1" applyBorder="1" applyAlignment="1">
      <alignment horizontal="left" vertical="center" wrapText="1"/>
    </xf>
    <xf numFmtId="0" fontId="2" fillId="0" borderId="0" xfId="0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K44"/>
  <sheetViews>
    <sheetView tabSelected="1" workbookViewId="0">
      <selection activeCell="Q3" sqref="Q3"/>
    </sheetView>
  </sheetViews>
  <sheetFormatPr defaultRowHeight="15" x14ac:dyDescent="0.25"/>
  <cols>
    <col min="1" max="1" width="21.5703125" style="1" bestFit="1" customWidth="1"/>
    <col min="2" max="2" width="16.28515625" style="1" customWidth="1"/>
    <col min="3" max="3" width="11.42578125" style="1" customWidth="1"/>
    <col min="4" max="4" width="5.7109375" style="1" customWidth="1"/>
    <col min="5" max="5" width="5.28515625" style="1" customWidth="1"/>
    <col min="6" max="6" width="15.42578125" style="1" customWidth="1"/>
    <col min="7" max="7" width="21.7109375" style="1" bestFit="1" customWidth="1"/>
    <col min="8" max="8" width="23.7109375" style="1" bestFit="1" customWidth="1"/>
    <col min="9" max="9" width="24.140625" style="1" bestFit="1" customWidth="1"/>
    <col min="10" max="10" width="20.28515625" style="1" bestFit="1" customWidth="1"/>
    <col min="11" max="11" width="25.28515625" style="1" customWidth="1"/>
    <col min="12" max="16384" width="9.140625" style="1"/>
  </cols>
  <sheetData>
    <row r="1" spans="1:11" ht="55.9" customHeight="1" x14ac:dyDescent="0.25">
      <c r="A1" s="17" t="s">
        <v>7</v>
      </c>
      <c r="B1" s="17"/>
      <c r="C1" s="17"/>
      <c r="F1" s="19" t="s">
        <v>16</v>
      </c>
      <c r="G1" s="20"/>
      <c r="H1" s="20"/>
      <c r="I1" s="20"/>
      <c r="J1" s="20"/>
      <c r="K1" s="20"/>
    </row>
    <row r="2" spans="1:11" x14ac:dyDescent="0.25">
      <c r="A2" s="21" t="s">
        <v>17</v>
      </c>
      <c r="F2" s="3"/>
      <c r="G2" s="18" t="s">
        <v>8</v>
      </c>
      <c r="H2" s="18"/>
      <c r="I2" s="18"/>
      <c r="J2" s="18"/>
    </row>
    <row r="3" spans="1:11" ht="45" x14ac:dyDescent="0.25">
      <c r="A3" s="16" t="s">
        <v>3</v>
      </c>
      <c r="B3" s="16"/>
      <c r="C3" s="16"/>
      <c r="F3" s="4" t="s">
        <v>15</v>
      </c>
      <c r="G3" s="5" t="s">
        <v>3</v>
      </c>
      <c r="H3" s="5" t="s">
        <v>4</v>
      </c>
      <c r="I3" s="5" t="s">
        <v>5</v>
      </c>
      <c r="J3" s="5" t="s">
        <v>6</v>
      </c>
      <c r="K3" s="6" t="s">
        <v>14</v>
      </c>
    </row>
    <row r="4" spans="1:11" x14ac:dyDescent="0.25">
      <c r="A4" s="7" t="s">
        <v>0</v>
      </c>
      <c r="B4" s="7" t="s">
        <v>1</v>
      </c>
      <c r="C4" s="7" t="s">
        <v>2</v>
      </c>
      <c r="F4" s="8">
        <v>10000</v>
      </c>
      <c r="G4" s="9">
        <f t="shared" ref="G4:G22" si="0">CalcTax($F4,SINGLE)</f>
        <v>1002.5</v>
      </c>
      <c r="H4" s="9">
        <f t="shared" ref="H4:H22" si="1">CalcTax($F4,MARRIED)</f>
        <v>1000</v>
      </c>
      <c r="I4" s="9">
        <f t="shared" ref="I4:I22" si="2">CalcTax($F4,SEPARATE)</f>
        <v>1002.5</v>
      </c>
      <c r="J4" s="9">
        <f t="shared" ref="J4:J22" si="3">CalcTax($F4,HEAD)</f>
        <v>1000</v>
      </c>
      <c r="K4" s="9">
        <f>G4-H4</f>
        <v>2.5</v>
      </c>
    </row>
    <row r="5" spans="1:11" x14ac:dyDescent="0.25">
      <c r="A5" s="10">
        <v>0</v>
      </c>
      <c r="B5" s="10">
        <v>9875</v>
      </c>
      <c r="C5" s="11">
        <v>0.1</v>
      </c>
      <c r="F5" s="8">
        <v>20000</v>
      </c>
      <c r="G5" s="9">
        <f t="shared" si="0"/>
        <v>2202.5</v>
      </c>
      <c r="H5" s="9">
        <f t="shared" si="1"/>
        <v>2118</v>
      </c>
      <c r="I5" s="9">
        <f t="shared" si="2"/>
        <v>2202.5</v>
      </c>
      <c r="J5" s="9">
        <f t="shared" si="3"/>
        <v>2118</v>
      </c>
      <c r="K5" s="9">
        <f t="shared" ref="K5:K22" si="4">G5-H5</f>
        <v>84.5</v>
      </c>
    </row>
    <row r="6" spans="1:11" x14ac:dyDescent="0.25">
      <c r="A6" s="10">
        <f>B5</f>
        <v>9875</v>
      </c>
      <c r="B6" s="10">
        <v>40125</v>
      </c>
      <c r="C6" s="11">
        <v>0.12</v>
      </c>
      <c r="F6" s="8">
        <v>30000</v>
      </c>
      <c r="G6" s="9">
        <f t="shared" si="0"/>
        <v>3402.5</v>
      </c>
      <c r="H6" s="9">
        <f t="shared" si="1"/>
        <v>3318</v>
      </c>
      <c r="I6" s="9">
        <f t="shared" si="2"/>
        <v>3402.5</v>
      </c>
      <c r="J6" s="9">
        <f t="shared" si="3"/>
        <v>3318</v>
      </c>
      <c r="K6" s="9">
        <f t="shared" si="4"/>
        <v>84.5</v>
      </c>
    </row>
    <row r="7" spans="1:11" x14ac:dyDescent="0.25">
      <c r="A7" s="10">
        <f t="shared" ref="A7:A10" si="5">B6</f>
        <v>40125</v>
      </c>
      <c r="B7" s="10">
        <v>85525</v>
      </c>
      <c r="C7" s="11">
        <v>0.22</v>
      </c>
      <c r="F7" s="8">
        <v>40000</v>
      </c>
      <c r="G7" s="9">
        <f t="shared" si="0"/>
        <v>4602.5</v>
      </c>
      <c r="H7" s="9">
        <f t="shared" si="1"/>
        <v>4518</v>
      </c>
      <c r="I7" s="9">
        <f t="shared" si="2"/>
        <v>4602.5</v>
      </c>
      <c r="J7" s="9">
        <f t="shared" si="3"/>
        <v>4518</v>
      </c>
      <c r="K7" s="9">
        <f t="shared" si="4"/>
        <v>84.5</v>
      </c>
    </row>
    <row r="8" spans="1:11" x14ac:dyDescent="0.25">
      <c r="A8" s="10">
        <f t="shared" si="5"/>
        <v>85525</v>
      </c>
      <c r="B8" s="10">
        <v>163300</v>
      </c>
      <c r="C8" s="11">
        <v>0.24</v>
      </c>
      <c r="F8" s="8">
        <v>50000</v>
      </c>
      <c r="G8" s="9">
        <f t="shared" si="0"/>
        <v>6790</v>
      </c>
      <c r="H8" s="9">
        <f t="shared" si="1"/>
        <v>5718</v>
      </c>
      <c r="I8" s="9">
        <f t="shared" si="2"/>
        <v>6790</v>
      </c>
      <c r="J8" s="9">
        <f t="shared" si="3"/>
        <v>5718</v>
      </c>
      <c r="K8" s="9">
        <f t="shared" si="4"/>
        <v>1072</v>
      </c>
    </row>
    <row r="9" spans="1:11" x14ac:dyDescent="0.25">
      <c r="A9" s="10">
        <f t="shared" si="5"/>
        <v>163300</v>
      </c>
      <c r="B9" s="10">
        <v>207350</v>
      </c>
      <c r="C9" s="11">
        <v>0.32</v>
      </c>
      <c r="F9" s="8">
        <v>60000</v>
      </c>
      <c r="G9" s="9">
        <f t="shared" si="0"/>
        <v>8990</v>
      </c>
      <c r="H9" s="9">
        <f t="shared" si="1"/>
        <v>7548</v>
      </c>
      <c r="I9" s="9">
        <f t="shared" si="2"/>
        <v>8990</v>
      </c>
      <c r="J9" s="9">
        <f t="shared" si="3"/>
        <v>7548</v>
      </c>
      <c r="K9" s="9">
        <f t="shared" si="4"/>
        <v>1442</v>
      </c>
    </row>
    <row r="10" spans="1:11" x14ac:dyDescent="0.25">
      <c r="A10" s="10">
        <f t="shared" si="5"/>
        <v>207350</v>
      </c>
      <c r="B10" s="10">
        <v>518400</v>
      </c>
      <c r="C10" s="11">
        <v>0.35</v>
      </c>
      <c r="F10" s="8">
        <v>70000</v>
      </c>
      <c r="G10" s="9">
        <f t="shared" si="0"/>
        <v>11190</v>
      </c>
      <c r="H10" s="9">
        <f t="shared" si="1"/>
        <v>9748</v>
      </c>
      <c r="I10" s="9">
        <f t="shared" si="2"/>
        <v>11190</v>
      </c>
      <c r="J10" s="9">
        <f t="shared" si="3"/>
        <v>9748</v>
      </c>
      <c r="K10" s="9">
        <f t="shared" si="4"/>
        <v>1442</v>
      </c>
    </row>
    <row r="11" spans="1:11" x14ac:dyDescent="0.25">
      <c r="A11" s="10">
        <f>B10</f>
        <v>518400</v>
      </c>
      <c r="B11" s="10"/>
      <c r="C11" s="11">
        <v>0.37</v>
      </c>
      <c r="F11" s="8">
        <v>80000</v>
      </c>
      <c r="G11" s="9">
        <f t="shared" si="0"/>
        <v>13390</v>
      </c>
      <c r="H11" s="9">
        <f t="shared" si="1"/>
        <v>11948</v>
      </c>
      <c r="I11" s="9">
        <f t="shared" si="2"/>
        <v>13390</v>
      </c>
      <c r="J11" s="9">
        <f t="shared" si="3"/>
        <v>11948</v>
      </c>
      <c r="K11" s="9">
        <f t="shared" si="4"/>
        <v>1442</v>
      </c>
    </row>
    <row r="12" spans="1:11" x14ac:dyDescent="0.25">
      <c r="F12" s="8">
        <v>90000</v>
      </c>
      <c r="G12" s="9">
        <f t="shared" si="0"/>
        <v>15679.5</v>
      </c>
      <c r="H12" s="9">
        <f t="shared" si="1"/>
        <v>14238</v>
      </c>
      <c r="I12" s="9">
        <f t="shared" si="2"/>
        <v>15679.5</v>
      </c>
      <c r="J12" s="9">
        <f t="shared" si="3"/>
        <v>14238</v>
      </c>
      <c r="K12" s="9">
        <f t="shared" si="4"/>
        <v>1441.5</v>
      </c>
    </row>
    <row r="13" spans="1:11" x14ac:dyDescent="0.25">
      <c r="A13" s="21" t="s">
        <v>17</v>
      </c>
      <c r="C13" s="12"/>
      <c r="F13" s="8">
        <v>100000</v>
      </c>
      <c r="G13" s="9">
        <f t="shared" si="0"/>
        <v>18079.5</v>
      </c>
      <c r="H13" s="9">
        <f t="shared" si="1"/>
        <v>16638</v>
      </c>
      <c r="I13" s="9">
        <f t="shared" si="2"/>
        <v>18079.5</v>
      </c>
      <c r="J13" s="9">
        <f t="shared" si="3"/>
        <v>16638</v>
      </c>
      <c r="K13" s="9">
        <f t="shared" si="4"/>
        <v>1441.5</v>
      </c>
    </row>
    <row r="14" spans="1:11" x14ac:dyDescent="0.25">
      <c r="A14" s="16" t="s">
        <v>18</v>
      </c>
      <c r="B14" s="16"/>
      <c r="C14" s="16"/>
      <c r="F14" s="8">
        <v>110000</v>
      </c>
      <c r="G14" s="9">
        <f t="shared" si="0"/>
        <v>20479.5</v>
      </c>
      <c r="H14" s="9">
        <f t="shared" si="1"/>
        <v>19038</v>
      </c>
      <c r="I14" s="9">
        <f t="shared" si="2"/>
        <v>20479.5</v>
      </c>
      <c r="J14" s="9">
        <f t="shared" si="3"/>
        <v>19038</v>
      </c>
      <c r="K14" s="9">
        <f t="shared" si="4"/>
        <v>1441.5</v>
      </c>
    </row>
    <row r="15" spans="1:11" x14ac:dyDescent="0.25">
      <c r="A15" s="7" t="s">
        <v>0</v>
      </c>
      <c r="B15" s="7" t="s">
        <v>1</v>
      </c>
      <c r="C15" s="7" t="s">
        <v>2</v>
      </c>
      <c r="F15" s="8">
        <v>120000</v>
      </c>
      <c r="G15" s="9">
        <f t="shared" si="0"/>
        <v>22879.5</v>
      </c>
      <c r="H15" s="9">
        <f t="shared" si="1"/>
        <v>21438</v>
      </c>
      <c r="I15" s="9">
        <f t="shared" si="2"/>
        <v>22879.5</v>
      </c>
      <c r="J15" s="9">
        <f t="shared" si="3"/>
        <v>21438</v>
      </c>
      <c r="K15" s="9">
        <f t="shared" si="4"/>
        <v>1441.5</v>
      </c>
    </row>
    <row r="16" spans="1:11" x14ac:dyDescent="0.25">
      <c r="A16" s="10">
        <v>0</v>
      </c>
      <c r="B16" s="10">
        <v>14100</v>
      </c>
      <c r="C16" s="11">
        <v>0.1</v>
      </c>
      <c r="F16" s="8">
        <v>130000</v>
      </c>
      <c r="G16" s="9">
        <f t="shared" si="0"/>
        <v>25279.5</v>
      </c>
      <c r="H16" s="9">
        <f t="shared" si="1"/>
        <v>23838</v>
      </c>
      <c r="I16" s="9">
        <f t="shared" si="2"/>
        <v>25279.5</v>
      </c>
      <c r="J16" s="9">
        <f t="shared" si="3"/>
        <v>23838</v>
      </c>
      <c r="K16" s="9">
        <f t="shared" si="4"/>
        <v>1441.5</v>
      </c>
    </row>
    <row r="17" spans="1:11" x14ac:dyDescent="0.25">
      <c r="A17" s="10">
        <f>B16</f>
        <v>14100</v>
      </c>
      <c r="B17" s="10">
        <v>53700</v>
      </c>
      <c r="C17" s="11">
        <v>0.12</v>
      </c>
      <c r="F17" s="8">
        <v>140000</v>
      </c>
      <c r="G17" s="9">
        <f t="shared" si="0"/>
        <v>27679.5</v>
      </c>
      <c r="H17" s="9">
        <f t="shared" si="1"/>
        <v>26238</v>
      </c>
      <c r="I17" s="9">
        <f t="shared" si="2"/>
        <v>27679.5</v>
      </c>
      <c r="J17" s="9">
        <f t="shared" si="3"/>
        <v>26238</v>
      </c>
      <c r="K17" s="9">
        <f t="shared" si="4"/>
        <v>1441.5</v>
      </c>
    </row>
    <row r="18" spans="1:11" x14ac:dyDescent="0.25">
      <c r="A18" s="10">
        <f t="shared" ref="A18:A22" si="6">B17</f>
        <v>53700</v>
      </c>
      <c r="B18" s="10">
        <v>85500</v>
      </c>
      <c r="C18" s="11">
        <v>0.22</v>
      </c>
      <c r="F18" s="8">
        <v>150000</v>
      </c>
      <c r="G18" s="9">
        <f t="shared" si="0"/>
        <v>30079.5</v>
      </c>
      <c r="H18" s="9">
        <f t="shared" si="1"/>
        <v>28638</v>
      </c>
      <c r="I18" s="9">
        <f t="shared" si="2"/>
        <v>30079.5</v>
      </c>
      <c r="J18" s="9">
        <f t="shared" si="3"/>
        <v>28638</v>
      </c>
      <c r="K18" s="9">
        <f t="shared" si="4"/>
        <v>1441.5</v>
      </c>
    </row>
    <row r="19" spans="1:11" x14ac:dyDescent="0.25">
      <c r="A19" s="10">
        <f t="shared" si="6"/>
        <v>85500</v>
      </c>
      <c r="B19" s="10">
        <v>163300</v>
      </c>
      <c r="C19" s="11">
        <v>0.24</v>
      </c>
      <c r="F19" s="8">
        <v>160000</v>
      </c>
      <c r="G19" s="9">
        <f t="shared" si="0"/>
        <v>32479.5</v>
      </c>
      <c r="H19" s="9">
        <f t="shared" si="1"/>
        <v>31038</v>
      </c>
      <c r="I19" s="9">
        <f t="shared" si="2"/>
        <v>32479.5</v>
      </c>
      <c r="J19" s="9">
        <f t="shared" si="3"/>
        <v>31038</v>
      </c>
      <c r="K19" s="9">
        <f t="shared" si="4"/>
        <v>1441.5</v>
      </c>
    </row>
    <row r="20" spans="1:11" x14ac:dyDescent="0.25">
      <c r="A20" s="10">
        <f t="shared" si="6"/>
        <v>163300</v>
      </c>
      <c r="B20" s="10">
        <v>207350</v>
      </c>
      <c r="C20" s="11">
        <v>0.32</v>
      </c>
      <c r="F20" s="8">
        <v>170000</v>
      </c>
      <c r="G20" s="9">
        <f t="shared" si="0"/>
        <v>35415.5</v>
      </c>
      <c r="H20" s="9">
        <f t="shared" si="1"/>
        <v>33974</v>
      </c>
      <c r="I20" s="9">
        <f t="shared" si="2"/>
        <v>35415.5</v>
      </c>
      <c r="J20" s="9">
        <f t="shared" si="3"/>
        <v>33974</v>
      </c>
      <c r="K20" s="9">
        <f t="shared" si="4"/>
        <v>1441.5</v>
      </c>
    </row>
    <row r="21" spans="1:11" x14ac:dyDescent="0.25">
      <c r="A21" s="10">
        <f t="shared" si="6"/>
        <v>207350</v>
      </c>
      <c r="B21" s="10">
        <v>518400</v>
      </c>
      <c r="C21" s="11">
        <v>0.35</v>
      </c>
      <c r="F21" s="8">
        <v>180000</v>
      </c>
      <c r="G21" s="9">
        <f t="shared" si="0"/>
        <v>38615.5</v>
      </c>
      <c r="H21" s="9">
        <f t="shared" si="1"/>
        <v>37174</v>
      </c>
      <c r="I21" s="9">
        <f t="shared" si="2"/>
        <v>38615.5</v>
      </c>
      <c r="J21" s="9">
        <f t="shared" si="3"/>
        <v>37174</v>
      </c>
      <c r="K21" s="9">
        <f t="shared" si="4"/>
        <v>1441.5</v>
      </c>
    </row>
    <row r="22" spans="1:11" x14ac:dyDescent="0.25">
      <c r="A22" s="10">
        <f t="shared" si="6"/>
        <v>518400</v>
      </c>
      <c r="B22" s="10"/>
      <c r="C22" s="11">
        <v>0.37</v>
      </c>
      <c r="F22" s="8">
        <v>190000</v>
      </c>
      <c r="G22" s="9">
        <f t="shared" si="0"/>
        <v>41815.5</v>
      </c>
      <c r="H22" s="9">
        <f t="shared" si="1"/>
        <v>40374</v>
      </c>
      <c r="I22" s="9">
        <f t="shared" si="2"/>
        <v>41815.5</v>
      </c>
      <c r="J22" s="9">
        <f t="shared" si="3"/>
        <v>40374</v>
      </c>
      <c r="K22" s="9">
        <f t="shared" si="4"/>
        <v>1441.5</v>
      </c>
    </row>
    <row r="23" spans="1:11" x14ac:dyDescent="0.25">
      <c r="B23" s="13"/>
    </row>
    <row r="24" spans="1:11" ht="30" x14ac:dyDescent="0.25">
      <c r="A24" s="2" t="s">
        <v>17</v>
      </c>
      <c r="B24" s="13"/>
      <c r="F24" s="14" t="s">
        <v>9</v>
      </c>
      <c r="G24" s="15" t="s">
        <v>10</v>
      </c>
      <c r="H24" s="15" t="s">
        <v>11</v>
      </c>
      <c r="I24" s="15" t="s">
        <v>12</v>
      </c>
      <c r="J24" s="15" t="s">
        <v>13</v>
      </c>
    </row>
    <row r="25" spans="1:11" x14ac:dyDescent="0.25">
      <c r="A25" s="16" t="s">
        <v>5</v>
      </c>
      <c r="B25" s="16"/>
      <c r="C25" s="16"/>
    </row>
    <row r="26" spans="1:11" x14ac:dyDescent="0.25">
      <c r="A26" s="7" t="s">
        <v>0</v>
      </c>
      <c r="B26" s="7" t="s">
        <v>1</v>
      </c>
      <c r="C26" s="7" t="s">
        <v>2</v>
      </c>
    </row>
    <row r="27" spans="1:11" x14ac:dyDescent="0.25">
      <c r="A27" s="10">
        <v>0</v>
      </c>
      <c r="B27" s="10">
        <v>9875</v>
      </c>
      <c r="C27" s="11">
        <v>0.1</v>
      </c>
    </row>
    <row r="28" spans="1:11" x14ac:dyDescent="0.25">
      <c r="A28" s="10">
        <f>B27</f>
        <v>9875</v>
      </c>
      <c r="B28" s="10">
        <v>40125</v>
      </c>
      <c r="C28" s="11">
        <v>0.12</v>
      </c>
    </row>
    <row r="29" spans="1:11" x14ac:dyDescent="0.25">
      <c r="A29" s="10">
        <f t="shared" ref="A29:A33" si="7">B28</f>
        <v>40125</v>
      </c>
      <c r="B29" s="10">
        <v>85525</v>
      </c>
      <c r="C29" s="11">
        <v>0.22</v>
      </c>
    </row>
    <row r="30" spans="1:11" x14ac:dyDescent="0.25">
      <c r="A30" s="10">
        <f t="shared" si="7"/>
        <v>85525</v>
      </c>
      <c r="B30" s="10">
        <v>163300</v>
      </c>
      <c r="C30" s="11">
        <v>0.24</v>
      </c>
    </row>
    <row r="31" spans="1:11" x14ac:dyDescent="0.25">
      <c r="A31" s="10">
        <f t="shared" si="7"/>
        <v>163300</v>
      </c>
      <c r="B31" s="10">
        <v>207350</v>
      </c>
      <c r="C31" s="11">
        <v>0.32</v>
      </c>
    </row>
    <row r="32" spans="1:11" x14ac:dyDescent="0.25">
      <c r="A32" s="10">
        <f t="shared" si="7"/>
        <v>207350</v>
      </c>
      <c r="B32" s="10">
        <v>311025</v>
      </c>
      <c r="C32" s="11">
        <v>0.35</v>
      </c>
    </row>
    <row r="33" spans="1:3" x14ac:dyDescent="0.25">
      <c r="A33" s="10">
        <f t="shared" si="7"/>
        <v>311025</v>
      </c>
      <c r="B33" s="10"/>
      <c r="C33" s="11">
        <v>0.37</v>
      </c>
    </row>
    <row r="35" spans="1:3" x14ac:dyDescent="0.25">
      <c r="A35" s="2" t="s">
        <v>17</v>
      </c>
    </row>
    <row r="36" spans="1:3" x14ac:dyDescent="0.25">
      <c r="A36" s="16" t="s">
        <v>6</v>
      </c>
      <c r="B36" s="16"/>
      <c r="C36" s="16"/>
    </row>
    <row r="37" spans="1:3" x14ac:dyDescent="0.25">
      <c r="A37" s="7" t="s">
        <v>0</v>
      </c>
      <c r="B37" s="7" t="s">
        <v>1</v>
      </c>
      <c r="C37" s="7" t="s">
        <v>2</v>
      </c>
    </row>
    <row r="38" spans="1:3" x14ac:dyDescent="0.25">
      <c r="A38" s="10">
        <v>0</v>
      </c>
      <c r="B38" s="10">
        <v>14100</v>
      </c>
      <c r="C38" s="11">
        <v>0.1</v>
      </c>
    </row>
    <row r="39" spans="1:3" x14ac:dyDescent="0.25">
      <c r="A39" s="10">
        <f>B38</f>
        <v>14100</v>
      </c>
      <c r="B39" s="10">
        <v>53700</v>
      </c>
      <c r="C39" s="11">
        <v>0.12</v>
      </c>
    </row>
    <row r="40" spans="1:3" x14ac:dyDescent="0.25">
      <c r="A40" s="10">
        <f t="shared" ref="A40:A44" si="8">B39</f>
        <v>53700</v>
      </c>
      <c r="B40" s="10">
        <v>85500</v>
      </c>
      <c r="C40" s="11">
        <v>0.22</v>
      </c>
    </row>
    <row r="41" spans="1:3" x14ac:dyDescent="0.25">
      <c r="A41" s="10">
        <f t="shared" si="8"/>
        <v>85500</v>
      </c>
      <c r="B41" s="10">
        <v>163300</v>
      </c>
      <c r="C41" s="11">
        <v>0.24</v>
      </c>
    </row>
    <row r="42" spans="1:3" x14ac:dyDescent="0.25">
      <c r="A42" s="10">
        <f t="shared" si="8"/>
        <v>163300</v>
      </c>
      <c r="B42" s="10">
        <v>207350</v>
      </c>
      <c r="C42" s="11">
        <v>0.32</v>
      </c>
    </row>
    <row r="43" spans="1:3" x14ac:dyDescent="0.25">
      <c r="A43" s="10">
        <f t="shared" si="8"/>
        <v>207350</v>
      </c>
      <c r="B43" s="10">
        <v>518400</v>
      </c>
      <c r="C43" s="11">
        <v>0.35</v>
      </c>
    </row>
    <row r="44" spans="1:3" x14ac:dyDescent="0.25">
      <c r="A44" s="10">
        <f t="shared" si="8"/>
        <v>518400</v>
      </c>
      <c r="B44" s="10"/>
      <c r="C44" s="11">
        <v>0.37</v>
      </c>
    </row>
  </sheetData>
  <mergeCells count="7">
    <mergeCell ref="A36:C36"/>
    <mergeCell ref="A1:C1"/>
    <mergeCell ref="G2:J2"/>
    <mergeCell ref="A3:C3"/>
    <mergeCell ref="A14:C14"/>
    <mergeCell ref="A25:C25"/>
    <mergeCell ref="F1:K1"/>
  </mergeCells>
  <pageMargins left="0.25" right="0.25" top="0.75" bottom="0.75" header="0.3" footer="0.3"/>
  <pageSetup scale="78" orientation="landscape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Tax2020</vt:lpstr>
      <vt:lpstr>HEAD</vt:lpstr>
      <vt:lpstr>MARRIED</vt:lpstr>
      <vt:lpstr>SEPARATE</vt:lpstr>
      <vt:lpstr>SINGLE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skociu@live.com</dc:creator>
  <cp:lastModifiedBy>skociu</cp:lastModifiedBy>
  <cp:lastPrinted>2015-03-13T00:46:52Z</cp:lastPrinted>
  <dcterms:created xsi:type="dcterms:W3CDTF">2014-02-20T03:41:52Z</dcterms:created>
  <dcterms:modified xsi:type="dcterms:W3CDTF">2021-04-11T01:13:43Z</dcterms:modified>
</cp:coreProperties>
</file>